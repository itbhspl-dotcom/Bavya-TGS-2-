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c995cc1372fe90/Desktop/"/>
    </mc:Choice>
  </mc:AlternateContent>
  <xr:revisionPtr revIDLastSave="273" documentId="13_ncr:1_{2101E413-C8FC-4121-B45F-F7F1B5FA1365}" xr6:coauthVersionLast="47" xr6:coauthVersionMax="47" xr10:uidLastSave="{856AC8D9-C909-4009-805B-235059DC3BFC}"/>
  <bookViews>
    <workbookView xWindow="-120" yWindow="-120" windowWidth="29040" windowHeight="15720" xr2:uid="{8358B3D8-0E20-4361-A145-F9F06EE35811}"/>
  </bookViews>
  <sheets>
    <sheet name="Travel Expense Statement" sheetId="4" r:id="rId1"/>
  </sheets>
  <definedNames>
    <definedName name="_xlnm.Print_Area" localSheetId="0">'Travel Expense Statement'!$A$1:$P$41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K15" i="4"/>
  <c r="K14" i="4"/>
  <c r="K13" i="4"/>
  <c r="K35" i="4"/>
  <c r="P30" i="4" s="1"/>
  <c r="H35" i="4"/>
  <c r="P29" i="4" s="1"/>
  <c r="N23" i="4"/>
  <c r="P28" i="4" s="1"/>
  <c r="M23" i="4"/>
  <c r="P27" i="4" s="1"/>
  <c r="L23" i="4"/>
  <c r="P26" i="4" s="1"/>
  <c r="K22" i="4"/>
  <c r="K21" i="4"/>
  <c r="K20" i="4"/>
  <c r="K19" i="4"/>
  <c r="K18" i="4"/>
  <c r="K17" i="4"/>
  <c r="K16" i="4"/>
  <c r="K12" i="4"/>
  <c r="K11" i="4"/>
  <c r="P23" i="4" l="1"/>
  <c r="P31" i="4" s="1"/>
  <c r="K23" i="4"/>
  <c r="P25" i="4" s="1"/>
  <c r="P32" i="4" l="1"/>
  <c r="P34" i="4" s="1"/>
  <c r="P35" i="4" l="1"/>
</calcChain>
</file>

<file path=xl/sharedStrings.xml><?xml version="1.0" encoding="utf-8"?>
<sst xmlns="http://schemas.openxmlformats.org/spreadsheetml/2006/main" count="61" uniqueCount="51">
  <si>
    <t>Mode of Travel</t>
  </si>
  <si>
    <t>Particulars</t>
  </si>
  <si>
    <t>Daily Allowance</t>
  </si>
  <si>
    <t>Travel Particulars</t>
  </si>
  <si>
    <t>Stay &amp; Food Expenses</t>
  </si>
  <si>
    <t>Departure</t>
  </si>
  <si>
    <t>Arrival</t>
  </si>
  <si>
    <t xml:space="preserve"> own vehicle</t>
  </si>
  <si>
    <t>Amount</t>
  </si>
  <si>
    <t xml:space="preserve"> Lodging</t>
  </si>
  <si>
    <t>Date</t>
  </si>
  <si>
    <t>Time</t>
  </si>
  <si>
    <t>Place</t>
  </si>
  <si>
    <t>km</t>
  </si>
  <si>
    <t>@</t>
  </si>
  <si>
    <t xml:space="preserve">Total </t>
  </si>
  <si>
    <t>Local Conveyance</t>
  </si>
  <si>
    <t>Other Expenses</t>
  </si>
  <si>
    <t>Grand Total</t>
  </si>
  <si>
    <t>Total</t>
  </si>
  <si>
    <t>From</t>
  </si>
  <si>
    <t>To</t>
  </si>
  <si>
    <t>Mode</t>
  </si>
  <si>
    <t>Travel fare</t>
  </si>
  <si>
    <t>Lodging</t>
  </si>
  <si>
    <t>Other Exp.</t>
  </si>
  <si>
    <t xml:space="preserve"> Please indicate Exceptions, Deviations  and Abnormal expenses, if any</t>
  </si>
  <si>
    <t>Incidental Expenses</t>
  </si>
  <si>
    <t>If vehicle provided by Company do not enter amount</t>
  </si>
  <si>
    <t>Local Conveyance (when on outstation visits)</t>
  </si>
  <si>
    <t>To be reimbursed from the Company</t>
  </si>
  <si>
    <t>Advance taken from Company</t>
  </si>
  <si>
    <t>To be refunded to Company</t>
  </si>
  <si>
    <t>Eg.   All the expenses were self paid, entitled for AC III Tier, difference for AC II from own pocket</t>
  </si>
  <si>
    <t>Employee Name</t>
  </si>
  <si>
    <t>Employee ID</t>
  </si>
  <si>
    <t>Base Location</t>
  </si>
  <si>
    <t>Bank Name</t>
  </si>
  <si>
    <t>Account No.</t>
  </si>
  <si>
    <t>IFSC Code</t>
  </si>
  <si>
    <t>In case of own stay</t>
  </si>
  <si>
    <t>Eligibility</t>
  </si>
  <si>
    <t>Eg office supplies, xerox</t>
  </si>
  <si>
    <t>Project Name - State</t>
  </si>
  <si>
    <t xml:space="preserve">Travel Expenses Statement for the month of </t>
  </si>
  <si>
    <t>Sl. No.</t>
  </si>
  <si>
    <t>Signature  - Employee</t>
  </si>
  <si>
    <t>Own Stay Allowance</t>
  </si>
  <si>
    <t>Reporting Authority</t>
  </si>
  <si>
    <t xml:space="preserve"> HR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</si>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</sst>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h:mm\ AM/PM;@"/>
    <numFmt numFmtId="165" formatCode="_(* #,##0.00_);_(* \(#,##0.00\);_(* &quot;-&quot;??_);_(@_)"/>
    <numFmt numFmtId="166" formatCode="[$-409]d\-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226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6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9" fontId="2" fillId="0" borderId="31" xfId="0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4" fontId="8" fillId="0" borderId="25" xfId="0" applyNumberFormat="1" applyFont="1" applyBorder="1"/>
    <xf numFmtId="0" fontId="2" fillId="0" borderId="5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7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3" fontId="0" fillId="5" borderId="25" xfId="1" applyFont="1" applyFill="1" applyBorder="1"/>
    <xf numFmtId="43" fontId="10" fillId="0" borderId="31" xfId="1" applyFont="1" applyBorder="1" applyProtection="1"/>
    <xf numFmtId="0" fontId="0" fillId="0" borderId="59" xfId="0" applyFont="1" applyBorder="1"/>
    <xf numFmtId="166" fontId="7" fillId="0" borderId="12" xfId="1" applyNumberFormat="1" applyFont="1" applyBorder="1" applyAlignment="1" applyProtection="1">
      <alignment horizontal="center"/>
      <protection locked="0"/>
    </xf>
    <xf numFmtId="164" fontId="7" fillId="0" borderId="6" xfId="1" applyNumberFormat="1" applyFont="1" applyBorder="1" applyAlignment="1" applyProtection="1">
      <alignment horizontal="center"/>
      <protection locked="0"/>
    </xf>
    <xf numFmtId="165" fontId="7" fillId="0" borderId="6" xfId="1" applyNumberFormat="1" applyFont="1" applyBorder="1" applyAlignment="1" applyProtection="1">
      <alignment horizontal="center"/>
      <protection locked="0"/>
    </xf>
    <xf numFmtId="166" fontId="7" fillId="0" borderId="6" xfId="1" applyNumberFormat="1" applyFont="1" applyBorder="1" applyAlignment="1" applyProtection="1">
      <alignment horizontal="center"/>
      <protection locked="0"/>
    </xf>
    <xf numFmtId="18" fontId="7" fillId="0" borderId="6" xfId="1" applyNumberFormat="1" applyFont="1" applyBorder="1" applyAlignment="1" applyProtection="1">
      <protection locked="0"/>
    </xf>
    <xf numFmtId="165" fontId="7" fillId="0" borderId="5" xfId="1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Protection="1">
      <protection locked="0"/>
    </xf>
    <xf numFmtId="165" fontId="7" fillId="0" borderId="6" xfId="1" applyNumberFormat="1" applyFont="1" applyBorder="1" applyProtection="1">
      <protection locked="0"/>
    </xf>
    <xf numFmtId="165" fontId="7" fillId="0" borderId="25" xfId="1" applyNumberFormat="1" applyFont="1" applyBorder="1" applyProtection="1"/>
    <xf numFmtId="43" fontId="7" fillId="0" borderId="23" xfId="1" applyFont="1" applyBorder="1" applyAlignment="1" applyProtection="1">
      <alignment horizontal="center"/>
      <protection locked="0"/>
    </xf>
    <xf numFmtId="43" fontId="7" fillId="0" borderId="6" xfId="1" applyFont="1" applyBorder="1" applyProtection="1">
      <protection locked="0"/>
    </xf>
    <xf numFmtId="0" fontId="0" fillId="0" borderId="6" xfId="0" applyFont="1" applyBorder="1"/>
    <xf numFmtId="0" fontId="0" fillId="0" borderId="25" xfId="0" applyFont="1" applyBorder="1"/>
    <xf numFmtId="0" fontId="0" fillId="0" borderId="0" xfId="0" applyFont="1"/>
    <xf numFmtId="0" fontId="0" fillId="0" borderId="60" xfId="0" applyFont="1" applyBorder="1"/>
    <xf numFmtId="166" fontId="7" fillId="0" borderId="10" xfId="1" applyNumberFormat="1" applyFont="1" applyBorder="1" applyAlignment="1" applyProtection="1">
      <alignment horizontal="center"/>
      <protection locked="0"/>
    </xf>
    <xf numFmtId="164" fontId="7" fillId="0" borderId="5" xfId="1" applyNumberFormat="1" applyFont="1" applyBorder="1" applyAlignment="1" applyProtection="1">
      <alignment horizontal="center"/>
      <protection locked="0"/>
    </xf>
    <xf numFmtId="165" fontId="7" fillId="0" borderId="5" xfId="1" applyNumberFormat="1" applyFont="1" applyBorder="1" applyAlignment="1" applyProtection="1">
      <alignment horizontal="center"/>
      <protection locked="0"/>
    </xf>
    <xf numFmtId="166" fontId="7" fillId="0" borderId="5" xfId="1" applyNumberFormat="1" applyFont="1" applyBorder="1" applyAlignment="1" applyProtection="1">
      <alignment horizontal="center"/>
      <protection locked="0"/>
    </xf>
    <xf numFmtId="18" fontId="7" fillId="0" borderId="5" xfId="1" applyNumberFormat="1" applyFont="1" applyBorder="1" applyAlignment="1" applyProtection="1">
      <protection locked="0"/>
    </xf>
    <xf numFmtId="0" fontId="7" fillId="0" borderId="5" xfId="0" applyFont="1" applyBorder="1" applyProtection="1">
      <protection locked="0"/>
    </xf>
    <xf numFmtId="165" fontId="7" fillId="0" borderId="48" xfId="1" applyNumberFormat="1" applyFont="1" applyBorder="1" applyProtection="1"/>
    <xf numFmtId="43" fontId="7" fillId="0" borderId="7" xfId="1" applyFont="1" applyBorder="1" applyAlignment="1" applyProtection="1">
      <alignment horizontal="center"/>
      <protection locked="0"/>
    </xf>
    <xf numFmtId="43" fontId="7" fillId="0" borderId="5" xfId="1" applyFont="1" applyBorder="1" applyProtection="1">
      <protection locked="0"/>
    </xf>
    <xf numFmtId="0" fontId="0" fillId="0" borderId="5" xfId="0" applyFont="1" applyBorder="1"/>
    <xf numFmtId="0" fontId="7" fillId="0" borderId="10" xfId="0" applyFont="1" applyBorder="1" applyProtection="1">
      <protection locked="0"/>
    </xf>
    <xf numFmtId="16" fontId="7" fillId="0" borderId="10" xfId="0" applyNumberFormat="1" applyFont="1" applyBorder="1" applyProtection="1">
      <protection locked="0"/>
    </xf>
    <xf numFmtId="164" fontId="7" fillId="0" borderId="5" xfId="1" quotePrefix="1" applyNumberFormat="1" applyFont="1" applyBorder="1" applyAlignment="1" applyProtection="1">
      <protection locked="0"/>
    </xf>
    <xf numFmtId="1" fontId="7" fillId="0" borderId="5" xfId="1" applyNumberFormat="1" applyFont="1" applyBorder="1" applyProtection="1">
      <protection locked="0"/>
    </xf>
    <xf numFmtId="165" fontId="7" fillId="0" borderId="5" xfId="1" applyNumberFormat="1" applyFont="1" applyBorder="1" applyProtection="1">
      <protection locked="0"/>
    </xf>
    <xf numFmtId="166" fontId="7" fillId="0" borderId="5" xfId="1" applyNumberFormat="1" applyFont="1" applyBorder="1" applyProtection="1">
      <protection locked="0"/>
    </xf>
    <xf numFmtId="165" fontId="7" fillId="0" borderId="5" xfId="1" applyNumberFormat="1" applyFont="1" applyBorder="1" applyAlignment="1" applyProtection="1">
      <protection locked="0"/>
    </xf>
    <xf numFmtId="166" fontId="7" fillId="0" borderId="10" xfId="1" applyNumberFormat="1" applyFont="1" applyBorder="1" applyProtection="1">
      <protection locked="0"/>
    </xf>
    <xf numFmtId="166" fontId="7" fillId="0" borderId="37" xfId="1" applyNumberFormat="1" applyFont="1" applyBorder="1" applyProtection="1">
      <protection locked="0"/>
    </xf>
    <xf numFmtId="164" fontId="7" fillId="0" borderId="30" xfId="1" applyNumberFormat="1" applyFont="1" applyBorder="1" applyProtection="1">
      <protection locked="0"/>
    </xf>
    <xf numFmtId="165" fontId="7" fillId="0" borderId="30" xfId="1" applyNumberFormat="1" applyFont="1" applyBorder="1" applyProtection="1">
      <protection locked="0"/>
    </xf>
    <xf numFmtId="166" fontId="7" fillId="0" borderId="30" xfId="1" applyNumberFormat="1" applyFont="1" applyBorder="1" applyProtection="1">
      <protection locked="0"/>
    </xf>
    <xf numFmtId="165" fontId="7" fillId="0" borderId="37" xfId="1" applyNumberFormat="1" applyFont="1" applyBorder="1" applyAlignment="1" applyProtection="1">
      <alignment horizontal="left" vertical="center"/>
      <protection locked="0"/>
    </xf>
    <xf numFmtId="0" fontId="7" fillId="0" borderId="30" xfId="0" applyFont="1" applyBorder="1" applyProtection="1">
      <protection locked="0"/>
    </xf>
    <xf numFmtId="165" fontId="7" fillId="0" borderId="50" xfId="1" applyNumberFormat="1" applyFont="1" applyBorder="1" applyProtection="1">
      <protection locked="0"/>
    </xf>
    <xf numFmtId="165" fontId="7" fillId="0" borderId="31" xfId="1" applyNumberFormat="1" applyFont="1" applyBorder="1" applyProtection="1"/>
    <xf numFmtId="43" fontId="7" fillId="0" borderId="36" xfId="1" applyFont="1" applyBorder="1" applyAlignment="1" applyProtection="1">
      <alignment horizontal="center"/>
      <protection locked="0"/>
    </xf>
    <xf numFmtId="43" fontId="7" fillId="0" borderId="30" xfId="1" applyFont="1" applyBorder="1" applyProtection="1">
      <protection locked="0"/>
    </xf>
    <xf numFmtId="43" fontId="7" fillId="0" borderId="45" xfId="1" applyFont="1" applyBorder="1" applyProtection="1">
      <protection locked="0"/>
    </xf>
    <xf numFmtId="0" fontId="0" fillId="0" borderId="30" xfId="0" applyFont="1" applyBorder="1"/>
    <xf numFmtId="0" fontId="0" fillId="0" borderId="61" xfId="0" applyFont="1" applyBorder="1"/>
    <xf numFmtId="165" fontId="10" fillId="0" borderId="46" xfId="1" applyNumberFormat="1" applyFont="1" applyBorder="1" applyAlignment="1" applyProtection="1">
      <alignment horizontal="center"/>
      <protection locked="0"/>
    </xf>
    <xf numFmtId="165" fontId="10" fillId="0" borderId="47" xfId="1" applyNumberFormat="1" applyFont="1" applyBorder="1" applyAlignment="1" applyProtection="1">
      <alignment horizontal="center"/>
      <protection locked="0"/>
    </xf>
    <xf numFmtId="165" fontId="10" fillId="3" borderId="14" xfId="1" applyNumberFormat="1" applyFont="1" applyFill="1" applyBorder="1" applyAlignment="1" applyProtection="1">
      <alignment horizontal="center"/>
      <protection locked="0"/>
    </xf>
    <xf numFmtId="165" fontId="10" fillId="3" borderId="46" xfId="1" applyNumberFormat="1" applyFont="1" applyFill="1" applyBorder="1" applyAlignment="1" applyProtection="1">
      <alignment horizontal="center"/>
      <protection locked="0"/>
    </xf>
    <xf numFmtId="165" fontId="10" fillId="3" borderId="40" xfId="1" applyNumberFormat="1" applyFont="1" applyFill="1" applyBorder="1" applyAlignment="1" applyProtection="1">
      <alignment horizontal="center"/>
      <protection locked="0"/>
    </xf>
    <xf numFmtId="165" fontId="10" fillId="0" borderId="57" xfId="1" applyNumberFormat="1" applyFont="1" applyBorder="1" applyAlignment="1" applyProtection="1">
      <alignment horizontal="center"/>
    </xf>
    <xf numFmtId="43" fontId="10" fillId="0" borderId="32" xfId="1" applyFont="1" applyBorder="1" applyAlignment="1" applyProtection="1">
      <alignment horizontal="center"/>
    </xf>
    <xf numFmtId="43" fontId="10" fillId="0" borderId="50" xfId="1" applyFont="1" applyBorder="1" applyAlignment="1" applyProtection="1">
      <alignment horizontal="center"/>
    </xf>
    <xf numFmtId="43" fontId="10" fillId="0" borderId="44" xfId="1" applyFont="1" applyBorder="1" applyAlignment="1" applyProtection="1">
      <alignment horizontal="center"/>
    </xf>
    <xf numFmtId="0" fontId="0" fillId="0" borderId="41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6" xfId="0" applyFont="1" applyBorder="1"/>
    <xf numFmtId="0" fontId="0" fillId="0" borderId="6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8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0" fillId="0" borderId="5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10" fillId="3" borderId="1" xfId="0" applyFont="1" applyFill="1" applyBorder="1" applyAlignment="1" applyProtection="1">
      <alignment horizontal="center"/>
      <protection locked="0"/>
    </xf>
    <xf numFmtId="0" fontId="10" fillId="3" borderId="2" xfId="0" applyFont="1" applyFill="1" applyBorder="1" applyAlignment="1" applyProtection="1">
      <alignment horizontal="center"/>
      <protection locked="0"/>
    </xf>
    <xf numFmtId="0" fontId="10" fillId="3" borderId="19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 wrapText="1"/>
      <protection locked="0"/>
    </xf>
    <xf numFmtId="0" fontId="10" fillId="3" borderId="2" xfId="0" applyFont="1" applyFill="1" applyBorder="1" applyAlignment="1" applyProtection="1">
      <alignment horizontal="center" wrapText="1"/>
      <protection locked="0"/>
    </xf>
    <xf numFmtId="0" fontId="10" fillId="3" borderId="19" xfId="0" applyFont="1" applyFill="1" applyBorder="1" applyAlignment="1" applyProtection="1">
      <alignment horizontal="center" wrapText="1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 wrapText="1"/>
      <protection locked="0"/>
    </xf>
    <xf numFmtId="0" fontId="10" fillId="0" borderId="25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 applyProtection="1">
      <alignment horizontal="center"/>
      <protection locked="0"/>
    </xf>
    <xf numFmtId="0" fontId="10" fillId="0" borderId="30" xfId="0" applyFont="1" applyBorder="1" applyAlignment="1" applyProtection="1">
      <alignment horizontal="center"/>
      <protection locked="0"/>
    </xf>
    <xf numFmtId="0" fontId="10" fillId="0" borderId="30" xfId="0" applyFont="1" applyBorder="1" applyAlignment="1" applyProtection="1">
      <alignment horizontal="center" wrapText="1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0" fillId="0" borderId="31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10" fillId="0" borderId="30" xfId="0" applyFont="1" applyBorder="1" applyAlignment="1" applyProtection="1">
      <alignment horizontal="center" vertical="center" wrapText="1"/>
      <protection locked="0"/>
    </xf>
    <xf numFmtId="165" fontId="10" fillId="3" borderId="2" xfId="1" applyNumberFormat="1" applyFont="1" applyFill="1" applyBorder="1" applyAlignment="1" applyProtection="1">
      <alignment horizontal="center"/>
      <protection locked="0"/>
    </xf>
    <xf numFmtId="165" fontId="10" fillId="3" borderId="19" xfId="1" applyNumberFormat="1" applyFont="1" applyFill="1" applyBorder="1" applyAlignment="1" applyProtection="1">
      <alignment horizontal="center"/>
      <protection locked="0"/>
    </xf>
    <xf numFmtId="165" fontId="10" fillId="3" borderId="1" xfId="1" applyNumberFormat="1" applyFont="1" applyFill="1" applyBorder="1" applyAlignment="1" applyProtection="1">
      <alignment horizontal="center" vertical="center"/>
      <protection locked="0"/>
    </xf>
    <xf numFmtId="165" fontId="10" fillId="3" borderId="2" xfId="1" applyNumberFormat="1" applyFont="1" applyFill="1" applyBorder="1" applyAlignment="1" applyProtection="1">
      <alignment horizontal="center" vertical="center"/>
      <protection locked="0"/>
    </xf>
    <xf numFmtId="165" fontId="10" fillId="3" borderId="19" xfId="1" applyNumberFormat="1" applyFont="1" applyFill="1" applyBorder="1" applyAlignment="1" applyProtection="1">
      <alignment horizontal="center" vertical="center"/>
      <protection locked="0"/>
    </xf>
    <xf numFmtId="165" fontId="10" fillId="3" borderId="1" xfId="1" applyNumberFormat="1" applyFont="1" applyFill="1" applyBorder="1" applyAlignment="1" applyProtection="1">
      <alignment vertical="center"/>
      <protection locked="0"/>
    </xf>
    <xf numFmtId="165" fontId="10" fillId="3" borderId="27" xfId="1" applyNumberFormat="1" applyFont="1" applyFill="1" applyBorder="1" applyAlignment="1" applyProtection="1">
      <alignment vertical="center"/>
      <protection locked="0"/>
    </xf>
    <xf numFmtId="165" fontId="10" fillId="3" borderId="18" xfId="1" applyNumberFormat="1" applyFont="1" applyFill="1" applyBorder="1" applyAlignment="1" applyProtection="1">
      <alignment horizontal="center" vertical="center"/>
      <protection locked="0"/>
    </xf>
    <xf numFmtId="165" fontId="10" fillId="3" borderId="22" xfId="1" applyNumberFormat="1" applyFont="1" applyFill="1" applyBorder="1" applyAlignment="1" applyProtection="1">
      <alignment horizontal="center" vertical="center"/>
      <protection locked="0"/>
    </xf>
    <xf numFmtId="165" fontId="10" fillId="0" borderId="27" xfId="1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27" xfId="0" applyFont="1" applyBorder="1" applyAlignment="1" applyProtection="1">
      <alignment horizontal="center"/>
      <protection locked="0"/>
    </xf>
    <xf numFmtId="165" fontId="10" fillId="0" borderId="18" xfId="1" applyNumberFormat="1" applyFont="1" applyBorder="1" applyAlignment="1" applyProtection="1">
      <alignment horizontal="center" vertical="center"/>
      <protection locked="0"/>
    </xf>
    <xf numFmtId="165" fontId="10" fillId="0" borderId="27" xfId="1" applyNumberFormat="1" applyFont="1" applyBorder="1" applyAlignment="1" applyProtection="1">
      <alignment horizontal="center" vertical="center"/>
      <protection locked="0"/>
    </xf>
    <xf numFmtId="165" fontId="10" fillId="0" borderId="21" xfId="1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20" xfId="0" applyFont="1" applyBorder="1" applyAlignment="1" applyProtection="1">
      <alignment horizontal="center"/>
      <protection locked="0"/>
    </xf>
    <xf numFmtId="0" fontId="10" fillId="0" borderId="21" xfId="0" applyFont="1" applyBorder="1" applyAlignment="1" applyProtection="1">
      <alignment horizontal="center"/>
      <protection locked="0"/>
    </xf>
    <xf numFmtId="0" fontId="10" fillId="0" borderId="22" xfId="0" applyFont="1" applyBorder="1" applyAlignment="1" applyProtection="1">
      <alignment horizontal="center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165" fontId="7" fillId="0" borderId="43" xfId="1" applyNumberFormat="1" applyFont="1" applyBorder="1" applyAlignment="1" applyProtection="1">
      <alignment horizontal="center"/>
    </xf>
    <xf numFmtId="165" fontId="0" fillId="0" borderId="48" xfId="0" applyNumberFormat="1" applyFont="1" applyBorder="1"/>
    <xf numFmtId="0" fontId="7" fillId="0" borderId="11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165" fontId="7" fillId="0" borderId="11" xfId="1" applyNumberFormat="1" applyFont="1" applyBorder="1" applyAlignment="1" applyProtection="1">
      <alignment horizontal="center"/>
      <protection locked="0"/>
    </xf>
    <xf numFmtId="165" fontId="7" fillId="0" borderId="12" xfId="1" applyNumberFormat="1" applyFont="1" applyBorder="1" applyAlignment="1" applyProtection="1">
      <alignment horizontal="center"/>
      <protection locked="0"/>
    </xf>
    <xf numFmtId="43" fontId="7" fillId="0" borderId="13" xfId="1" applyFont="1" applyBorder="1" applyAlignment="1" applyProtection="1"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43" fontId="7" fillId="0" borderId="25" xfId="1" applyFont="1" applyBorder="1" applyProtection="1">
      <protection locked="0"/>
    </xf>
    <xf numFmtId="0" fontId="7" fillId="0" borderId="28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165" fontId="7" fillId="0" borderId="8" xfId="1" applyNumberFormat="1" applyFont="1" applyBorder="1" applyAlignment="1" applyProtection="1">
      <alignment horizontal="center"/>
    </xf>
    <xf numFmtId="43" fontId="0" fillId="0" borderId="48" xfId="0" applyNumberFormat="1" applyFont="1" applyBorder="1"/>
    <xf numFmtId="0" fontId="7" fillId="0" borderId="8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5" fontId="7" fillId="0" borderId="8" xfId="1" applyNumberFormat="1" applyFont="1" applyBorder="1" applyAlignment="1" applyProtection="1">
      <alignment horizontal="center"/>
      <protection locked="0"/>
    </xf>
    <xf numFmtId="165" fontId="7" fillId="0" borderId="10" xfId="1" applyNumberFormat="1" applyFont="1" applyBorder="1" applyAlignment="1" applyProtection="1">
      <alignment horizontal="center"/>
      <protection locked="0"/>
    </xf>
    <xf numFmtId="43" fontId="7" fillId="0" borderId="9" xfId="1" applyFont="1" applyBorder="1" applyAlignment="1" applyProtection="1"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43" fontId="7" fillId="0" borderId="48" xfId="1" applyFont="1" applyBorder="1" applyProtection="1"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5" xfId="0" applyFont="1" applyFill="1" applyBorder="1" applyAlignment="1" applyProtection="1">
      <alignment horizontal="left" vertical="center" wrapText="1"/>
      <protection locked="0"/>
    </xf>
    <xf numFmtId="165" fontId="7" fillId="0" borderId="42" xfId="1" applyNumberFormat="1" applyFont="1" applyBorder="1" applyAlignment="1" applyProtection="1">
      <alignment horizontal="center"/>
    </xf>
    <xf numFmtId="0" fontId="0" fillId="2" borderId="60" xfId="0" applyFont="1" applyFill="1" applyBorder="1"/>
    <xf numFmtId="166" fontId="7" fillId="2" borderId="10" xfId="1" applyNumberFormat="1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0" fontId="7" fillId="2" borderId="10" xfId="0" applyFont="1" applyFill="1" applyBorder="1" applyAlignment="1" applyProtection="1">
      <alignment horizontal="center"/>
      <protection locked="0"/>
    </xf>
    <xf numFmtId="165" fontId="7" fillId="2" borderId="8" xfId="1" applyNumberFormat="1" applyFont="1" applyFill="1" applyBorder="1" applyAlignment="1" applyProtection="1">
      <alignment horizontal="center"/>
      <protection locked="0"/>
    </xf>
    <xf numFmtId="165" fontId="7" fillId="2" borderId="10" xfId="1" applyNumberFormat="1" applyFont="1" applyFill="1" applyBorder="1" applyAlignment="1" applyProtection="1">
      <alignment horizontal="center"/>
      <protection locked="0"/>
    </xf>
    <xf numFmtId="165" fontId="7" fillId="2" borderId="5" xfId="1" applyNumberFormat="1" applyFont="1" applyFill="1" applyBorder="1" applyProtection="1">
      <protection locked="0"/>
    </xf>
    <xf numFmtId="43" fontId="7" fillId="2" borderId="9" xfId="1" applyFont="1" applyFill="1" applyBorder="1" applyAlignment="1" applyProtection="1">
      <protection locked="0"/>
    </xf>
    <xf numFmtId="0" fontId="7" fillId="2" borderId="28" xfId="0" applyFont="1" applyFill="1" applyBorder="1" applyAlignment="1" applyProtection="1">
      <alignment horizontal="center"/>
      <protection locked="0"/>
    </xf>
    <xf numFmtId="43" fontId="7" fillId="2" borderId="48" xfId="1" applyFont="1" applyFill="1" applyBorder="1" applyProtection="1">
      <protection locked="0"/>
    </xf>
    <xf numFmtId="0" fontId="7" fillId="2" borderId="53" xfId="0" applyFont="1" applyFill="1" applyBorder="1" applyAlignment="1" applyProtection="1">
      <alignment horizontal="left" vertical="center" wrapText="1"/>
      <protection locked="0"/>
    </xf>
    <xf numFmtId="0" fontId="7" fillId="2" borderId="26" xfId="0" applyFont="1" applyFill="1" applyBorder="1" applyAlignment="1" applyProtection="1">
      <alignment horizontal="left" vertical="center" wrapText="1"/>
      <protection locked="0"/>
    </xf>
    <xf numFmtId="165" fontId="7" fillId="2" borderId="42" xfId="1" applyNumberFormat="1" applyFont="1" applyFill="1" applyBorder="1" applyAlignment="1" applyProtection="1">
      <alignment horizontal="center"/>
    </xf>
    <xf numFmtId="0" fontId="0" fillId="2" borderId="4" xfId="0" applyFont="1" applyFill="1" applyBorder="1"/>
    <xf numFmtId="43" fontId="0" fillId="0" borderId="56" xfId="0" applyNumberFormat="1" applyFont="1" applyBorder="1"/>
    <xf numFmtId="0" fontId="0" fillId="2" borderId="0" xfId="0" applyFont="1" applyFill="1"/>
    <xf numFmtId="165" fontId="10" fillId="3" borderId="1" xfId="1" applyNumberFormat="1" applyFont="1" applyFill="1" applyBorder="1" applyAlignment="1" applyProtection="1">
      <alignment horizontal="right"/>
      <protection locked="0"/>
    </xf>
    <xf numFmtId="165" fontId="10" fillId="3" borderId="2" xfId="1" applyNumberFormat="1" applyFont="1" applyFill="1" applyBorder="1" applyAlignment="1" applyProtection="1">
      <alignment horizontal="right"/>
      <protection locked="0"/>
    </xf>
    <xf numFmtId="165" fontId="10" fillId="3" borderId="27" xfId="1" applyNumberFormat="1" applyFont="1" applyFill="1" applyBorder="1" applyAlignment="1" applyProtection="1">
      <alignment horizontal="right"/>
      <protection locked="0"/>
    </xf>
    <xf numFmtId="165" fontId="0" fillId="0" borderId="22" xfId="0" applyNumberFormat="1" applyFont="1" applyBorder="1"/>
    <xf numFmtId="0" fontId="7" fillId="0" borderId="55" xfId="0" applyFont="1" applyBorder="1" applyAlignment="1" applyProtection="1">
      <alignment horizontal="left"/>
      <protection locked="0"/>
    </xf>
    <xf numFmtId="0" fontId="7" fillId="0" borderId="16" xfId="0" applyFont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/>
      <protection locked="0"/>
    </xf>
    <xf numFmtId="166" fontId="7" fillId="0" borderId="37" xfId="1" applyNumberFormat="1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center"/>
      <protection locked="0"/>
    </xf>
    <xf numFmtId="165" fontId="7" fillId="0" borderId="30" xfId="1" applyNumberFormat="1" applyFont="1" applyBorder="1" applyAlignment="1" applyProtection="1">
      <alignment horizontal="center"/>
      <protection locked="0"/>
    </xf>
    <xf numFmtId="43" fontId="7" fillId="0" borderId="49" xfId="1" applyFont="1" applyBorder="1" applyAlignment="1" applyProtection="1">
      <protection locked="0"/>
    </xf>
    <xf numFmtId="0" fontId="7" fillId="0" borderId="29" xfId="0" applyFont="1" applyBorder="1" applyAlignment="1" applyProtection="1">
      <alignment horizontal="center"/>
      <protection locked="0"/>
    </xf>
    <xf numFmtId="43" fontId="7" fillId="0" borderId="31" xfId="1" applyFont="1" applyBorder="1" applyProtection="1">
      <protection locked="0"/>
    </xf>
    <xf numFmtId="0" fontId="7" fillId="0" borderId="28" xfId="0" applyFont="1" applyBorder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left"/>
      <protection locked="0"/>
    </xf>
    <xf numFmtId="0" fontId="7" fillId="0" borderId="10" xfId="0" applyFont="1" applyBorder="1" applyAlignment="1" applyProtection="1">
      <alignment horizontal="left"/>
      <protection locked="0"/>
    </xf>
    <xf numFmtId="43" fontId="10" fillId="0" borderId="48" xfId="1" applyFont="1" applyBorder="1" applyProtection="1"/>
    <xf numFmtId="0" fontId="0" fillId="0" borderId="38" xfId="0" applyFont="1" applyBorder="1"/>
    <xf numFmtId="165" fontId="10" fillId="3" borderId="33" xfId="1" applyNumberFormat="1" applyFont="1" applyFill="1" applyBorder="1" applyAlignment="1" applyProtection="1">
      <alignment horizontal="center"/>
      <protection locked="0"/>
    </xf>
    <xf numFmtId="165" fontId="10" fillId="3" borderId="0" xfId="1" applyNumberFormat="1" applyFont="1" applyFill="1" applyBorder="1" applyAlignment="1" applyProtection="1">
      <alignment horizontal="center"/>
      <protection locked="0"/>
    </xf>
    <xf numFmtId="165" fontId="10" fillId="3" borderId="24" xfId="1" applyNumberFormat="1" applyFont="1" applyFill="1" applyBorder="1" applyAlignment="1" applyProtection="1">
      <alignment horizontal="center"/>
      <protection locked="0"/>
    </xf>
    <xf numFmtId="43" fontId="7" fillId="0" borderId="34" xfId="1" applyFont="1" applyBorder="1" applyAlignment="1" applyProtection="1"/>
    <xf numFmtId="0" fontId="7" fillId="0" borderId="33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43" fontId="7" fillId="0" borderId="52" xfId="1" applyFont="1" applyBorder="1" applyProtection="1"/>
    <xf numFmtId="0" fontId="7" fillId="0" borderId="36" xfId="0" applyFont="1" applyBorder="1" applyAlignment="1" applyProtection="1">
      <alignment horizontal="left"/>
      <protection locked="0"/>
    </xf>
    <xf numFmtId="0" fontId="7" fillId="0" borderId="49" xfId="0" applyFont="1" applyBorder="1" applyAlignment="1" applyProtection="1">
      <alignment horizontal="left"/>
      <protection locked="0"/>
    </xf>
    <xf numFmtId="0" fontId="7" fillId="0" borderId="37" xfId="0" applyFont="1" applyBorder="1" applyAlignment="1" applyProtection="1">
      <alignment horizontal="left"/>
      <protection locked="0"/>
    </xf>
    <xf numFmtId="0" fontId="0" fillId="0" borderId="33" xfId="0" applyFont="1" applyBorder="1"/>
    <xf numFmtId="0" fontId="10" fillId="3" borderId="42" xfId="0" applyFont="1" applyFill="1" applyBorder="1" applyAlignment="1" applyProtection="1">
      <alignment horizontal="left" vertical="center" wrapText="1"/>
      <protection locked="0"/>
    </xf>
    <xf numFmtId="0" fontId="10" fillId="3" borderId="15" xfId="0" applyFont="1" applyFill="1" applyBorder="1" applyAlignment="1" applyProtection="1">
      <alignment horizontal="left" vertical="center" wrapText="1"/>
      <protection locked="0"/>
    </xf>
    <xf numFmtId="0" fontId="10" fillId="4" borderId="42" xfId="0" applyFont="1" applyFill="1" applyBorder="1" applyAlignment="1" applyProtection="1">
      <alignment horizontal="center" vertical="center"/>
      <protection locked="0"/>
    </xf>
    <xf numFmtId="0" fontId="10" fillId="4" borderId="15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center" vertical="center"/>
      <protection locked="0"/>
    </xf>
    <xf numFmtId="0" fontId="10" fillId="4" borderId="34" xfId="0" applyFont="1" applyFill="1" applyBorder="1" applyAlignment="1" applyProtection="1">
      <alignment horizontal="center" vertical="center"/>
      <protection locked="0"/>
    </xf>
    <xf numFmtId="0" fontId="10" fillId="3" borderId="11" xfId="0" applyFont="1" applyFill="1" applyBorder="1" applyAlignment="1" applyProtection="1">
      <alignment horizontal="left" vertical="center" wrapText="1"/>
      <protection locked="0"/>
    </xf>
    <xf numFmtId="0" fontId="10" fillId="3" borderId="13" xfId="0" applyFont="1" applyFill="1" applyBorder="1" applyAlignment="1" applyProtection="1">
      <alignment horizontal="left" vertical="center" wrapText="1"/>
      <protection locked="0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0" fillId="4" borderId="13" xfId="0" applyFont="1" applyFill="1" applyBorder="1" applyAlignment="1" applyProtection="1">
      <alignment horizontal="center" vertical="center"/>
      <protection locked="0"/>
    </xf>
    <xf numFmtId="0" fontId="10" fillId="4" borderId="54" xfId="0" applyFont="1" applyFill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0" fillId="0" borderId="0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2" xfId="0" applyFont="1" applyBorder="1"/>
    <xf numFmtId="0" fontId="0" fillId="0" borderId="35" xfId="0" applyFont="1" applyBorder="1"/>
    <xf numFmtId="0" fontId="2" fillId="0" borderId="17" xfId="0" applyFont="1" applyBorder="1" applyAlignment="1">
      <alignment horizontal="center"/>
    </xf>
    <xf numFmtId="0" fontId="2" fillId="0" borderId="17" xfId="0" applyFont="1" applyBorder="1"/>
  </cellXfs>
  <cellStyles count="4">
    <cellStyle name="Comma" xfId="1" builtinId="3"/>
    <cellStyle name="Comma 2" xfId="2" xr:uid="{D720F875-EA2E-422E-8B37-70648CDD6FC1}"/>
    <cellStyle name="Normal" xfId="0" builtinId="0"/>
    <cellStyle name="Normal 2" xfId="3" xr:uid="{D38CC05D-07B2-40AA-B888-02A747706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593725</xdr:colOff>
      <xdr:row>22</xdr:row>
      <xdr:rowOff>6350</xdr:rowOff>
    </xdr:from>
    <xdr:to>
      <xdr:col>10</xdr:col>
      <xdr:colOff>184150</xdr:colOff>
      <xdr:row>23</xdr:row>
      <xdr:rowOff>149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FA92EF22-ADBC-4C71-93AE-00895414BC11}"/>
            </a:ext>
          </a:extLst>
        </xdr:cNvPr>
        <xdr:cNvSpPr/>
      </xdr:nvSpPr>
      <xdr:spPr>
        <a:xfrm>
          <a:off x="7038975" y="10102850"/>
          <a:ext cx="231775" cy="177949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A</a:t>
          </a:r>
        </a:p>
      </xdr:txBody>
    </xdr:sp>
    <xdr:clientData/>
  </xdr:twoCellAnchor>
  <xdr:twoCellAnchor>
    <xdr:from>
      <xdr:col>11</xdr:col>
      <xdr:colOff>0</xdr:colOff>
      <xdr:row>22</xdr:row>
      <xdr:rowOff>3175</xdr:rowOff>
    </xdr:from>
    <xdr:to>
      <xdr:col>11</xdr:col>
      <xdr:colOff>190500</xdr:colOff>
      <xdr:row>22</xdr:row>
      <xdr:rowOff>203200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66CC5BB2-6ABF-43CE-98A8-BEF15B991944}"/>
            </a:ext>
          </a:extLst>
        </xdr:cNvPr>
        <xdr:cNvSpPr/>
      </xdr:nvSpPr>
      <xdr:spPr>
        <a:xfrm>
          <a:off x="7918450" y="10099675"/>
          <a:ext cx="190500" cy="180975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B</a:t>
          </a:r>
        </a:p>
      </xdr:txBody>
    </xdr:sp>
    <xdr:clientData/>
  </xdr:twoCellAnchor>
  <xdr:twoCellAnchor>
    <xdr:from>
      <xdr:col>12</xdr:col>
      <xdr:colOff>0</xdr:colOff>
      <xdr:row>22</xdr:row>
      <xdr:rowOff>3175</xdr:rowOff>
    </xdr:from>
    <xdr:to>
      <xdr:col>12</xdr:col>
      <xdr:colOff>171450</xdr:colOff>
      <xdr:row>22</xdr:row>
      <xdr:rowOff>187325</xdr:rowOff>
    </xdr:to>
    <xdr:sp macro="" textlink="">
      <xdr:nvSpPr>
        <xdr:cNvPr id="4" name="Flowchart: Connector 4">
          <a:extLst>
            <a:ext uri="{FF2B5EF4-FFF2-40B4-BE49-F238E27FC236}">
              <a16:creationId xmlns:a16="http://schemas.microsoft.com/office/drawing/2014/main" id="{FE72D015-FD83-4415-9C67-2C6F5865DC15}"/>
            </a:ext>
          </a:extLst>
        </xdr:cNvPr>
        <xdr:cNvSpPr>
          <a:spLocks noChangeArrowheads="1"/>
        </xdr:cNvSpPr>
      </xdr:nvSpPr>
      <xdr:spPr bwMode="auto">
        <a:xfrm>
          <a:off x="9448800" y="10099675"/>
          <a:ext cx="171450" cy="177800"/>
        </a:xfrm>
        <a:prstGeom prst="flowChartConnector">
          <a:avLst/>
        </a:prstGeom>
        <a:solidFill>
          <a:srgbClr val="FFFFFF"/>
        </a:solidFill>
        <a:ln w="25400" algn="ctr">
          <a:solidFill>
            <a:srgbClr val="4F81BD"/>
          </a:solidFill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C</a:t>
          </a:r>
        </a:p>
      </xdr:txBody>
    </xdr:sp>
    <xdr:clientData/>
  </xdr:twoCellAnchor>
  <xdr:twoCellAnchor>
    <xdr:from>
      <xdr:col>13</xdr:col>
      <xdr:colOff>0</xdr:colOff>
      <xdr:row>22</xdr:row>
      <xdr:rowOff>3175</xdr:rowOff>
    </xdr:from>
    <xdr:to>
      <xdr:col>13</xdr:col>
      <xdr:colOff>181093</xdr:colOff>
      <xdr:row>23</xdr:row>
      <xdr:rowOff>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96DDB618-BA8F-4F46-8BC3-4CF26F42BE38}"/>
            </a:ext>
          </a:extLst>
        </xdr:cNvPr>
        <xdr:cNvSpPr/>
      </xdr:nvSpPr>
      <xdr:spPr>
        <a:xfrm>
          <a:off x="10071100" y="10099675"/>
          <a:ext cx="181093" cy="180975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D</a:t>
          </a:r>
        </a:p>
      </xdr:txBody>
    </xdr:sp>
    <xdr:clientData/>
  </xdr:twoCellAnchor>
  <xdr:twoCellAnchor>
    <xdr:from>
      <xdr:col>7</xdr:col>
      <xdr:colOff>3175</xdr:colOff>
      <xdr:row>33</xdr:row>
      <xdr:rowOff>187325</xdr:rowOff>
    </xdr:from>
    <xdr:to>
      <xdr:col>7</xdr:col>
      <xdr:colOff>191323</xdr:colOff>
      <xdr:row>34</xdr:row>
      <xdr:rowOff>181114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8EED9290-BC7D-4464-A24D-4A8495DA7929}"/>
            </a:ext>
          </a:extLst>
        </xdr:cNvPr>
        <xdr:cNvSpPr/>
      </xdr:nvSpPr>
      <xdr:spPr>
        <a:xfrm>
          <a:off x="5026025" y="12118975"/>
          <a:ext cx="188148" cy="184289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E</a:t>
          </a:r>
        </a:p>
      </xdr:txBody>
    </xdr:sp>
    <xdr:clientData/>
  </xdr:twoCellAnchor>
  <xdr:twoCellAnchor>
    <xdr:from>
      <xdr:col>12</xdr:col>
      <xdr:colOff>419101</xdr:colOff>
      <xdr:row>24</xdr:row>
      <xdr:rowOff>19050</xdr:rowOff>
    </xdr:from>
    <xdr:to>
      <xdr:col>12</xdr:col>
      <xdr:colOff>590551</xdr:colOff>
      <xdr:row>24</xdr:row>
      <xdr:rowOff>165100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64E475D1-905F-4723-B033-3C2EE6CCD73A}"/>
            </a:ext>
          </a:extLst>
        </xdr:cNvPr>
        <xdr:cNvSpPr/>
      </xdr:nvSpPr>
      <xdr:spPr>
        <a:xfrm>
          <a:off x="9867901" y="10483850"/>
          <a:ext cx="171450" cy="14605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A</a:t>
          </a:r>
        </a:p>
      </xdr:txBody>
    </xdr:sp>
    <xdr:clientData/>
  </xdr:twoCellAnchor>
  <xdr:twoCellAnchor>
    <xdr:from>
      <xdr:col>12</xdr:col>
      <xdr:colOff>428625</xdr:colOff>
      <xdr:row>26</xdr:row>
      <xdr:rowOff>0</xdr:rowOff>
    </xdr:from>
    <xdr:to>
      <xdr:col>13</xdr:col>
      <xdr:colOff>0</xdr:colOff>
      <xdr:row>26</xdr:row>
      <xdr:rowOff>165100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98605568-A739-403E-BD8F-0F2A0BF1724A}"/>
            </a:ext>
          </a:extLst>
        </xdr:cNvPr>
        <xdr:cNvSpPr/>
      </xdr:nvSpPr>
      <xdr:spPr>
        <a:xfrm>
          <a:off x="9458325" y="5410200"/>
          <a:ext cx="180975" cy="1651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C</a:t>
          </a:r>
        </a:p>
      </xdr:txBody>
    </xdr:sp>
    <xdr:clientData/>
  </xdr:twoCellAnchor>
  <xdr:twoCellAnchor>
    <xdr:from>
      <xdr:col>12</xdr:col>
      <xdr:colOff>447675</xdr:colOff>
      <xdr:row>26</xdr:row>
      <xdr:rowOff>184149</xdr:rowOff>
    </xdr:from>
    <xdr:to>
      <xdr:col>13</xdr:col>
      <xdr:colOff>1</xdr:colOff>
      <xdr:row>27</xdr:row>
      <xdr:rowOff>165100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07228755-4E31-4EDC-8BD0-948C07A8408F}"/>
            </a:ext>
          </a:extLst>
        </xdr:cNvPr>
        <xdr:cNvSpPr/>
      </xdr:nvSpPr>
      <xdr:spPr>
        <a:xfrm>
          <a:off x="9896475" y="11017249"/>
          <a:ext cx="174626" cy="165101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D</a:t>
          </a:r>
        </a:p>
      </xdr:txBody>
    </xdr:sp>
    <xdr:clientData/>
  </xdr:twoCellAnchor>
  <xdr:twoCellAnchor>
    <xdr:from>
      <xdr:col>12</xdr:col>
      <xdr:colOff>438151</xdr:colOff>
      <xdr:row>28</xdr:row>
      <xdr:rowOff>15876</xdr:rowOff>
    </xdr:from>
    <xdr:to>
      <xdr:col>13</xdr:col>
      <xdr:colOff>1</xdr:colOff>
      <xdr:row>28</xdr:row>
      <xdr:rowOff>168276</xdr:rowOff>
    </xdr:to>
    <xdr:sp macro="" textlink="">
      <xdr:nvSpPr>
        <xdr:cNvPr id="10" name="Flowchart: Connector 11">
          <a:extLst>
            <a:ext uri="{FF2B5EF4-FFF2-40B4-BE49-F238E27FC236}">
              <a16:creationId xmlns:a16="http://schemas.microsoft.com/office/drawing/2014/main" id="{D8630B0C-D457-47B7-A0C0-3AF24D99CDBD}"/>
            </a:ext>
          </a:extLst>
        </xdr:cNvPr>
        <xdr:cNvSpPr>
          <a:spLocks noChangeArrowheads="1"/>
        </xdr:cNvSpPr>
      </xdr:nvSpPr>
      <xdr:spPr bwMode="auto">
        <a:xfrm>
          <a:off x="8394701" y="5610226"/>
          <a:ext cx="171450" cy="152400"/>
        </a:xfrm>
        <a:prstGeom prst="flowChartConnector">
          <a:avLst/>
        </a:prstGeom>
        <a:solidFill>
          <a:srgbClr val="FFFFFF"/>
        </a:solidFill>
        <a:ln w="25400" algn="ctr">
          <a:solidFill>
            <a:srgbClr val="4F81BD"/>
          </a:solidFill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E</a:t>
          </a:r>
        </a:p>
      </xdr:txBody>
    </xdr:sp>
    <xdr:clientData/>
  </xdr:twoCellAnchor>
  <xdr:twoCellAnchor>
    <xdr:from>
      <xdr:col>10</xdr:col>
      <xdr:colOff>12700</xdr:colOff>
      <xdr:row>34</xdr:row>
      <xdr:rowOff>3175</xdr:rowOff>
    </xdr:from>
    <xdr:to>
      <xdr:col>10</xdr:col>
      <xdr:colOff>200848</xdr:colOff>
      <xdr:row>35</xdr:row>
      <xdr:rowOff>113</xdr:rowOff>
    </xdr:to>
    <xdr:sp macro="" textlink="">
      <xdr:nvSpPr>
        <xdr:cNvPr id="11" name="Flowchart: Connector 6">
          <a:extLst>
            <a:ext uri="{FF2B5EF4-FFF2-40B4-BE49-F238E27FC236}">
              <a16:creationId xmlns:a16="http://schemas.microsoft.com/office/drawing/2014/main" id="{E7696EBF-8246-4F77-9820-43FD2494B9AE}"/>
            </a:ext>
          </a:extLst>
        </xdr:cNvPr>
        <xdr:cNvSpPr/>
      </xdr:nvSpPr>
      <xdr:spPr>
        <a:xfrm>
          <a:off x="7099300" y="12125325"/>
          <a:ext cx="188148" cy="181088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F</a:t>
          </a:r>
        </a:p>
      </xdr:txBody>
    </xdr:sp>
    <xdr:clientData/>
  </xdr:twoCellAnchor>
  <xdr:oneCellAnchor>
    <xdr:from>
      <xdr:col>12</xdr:col>
      <xdr:colOff>533400</xdr:colOff>
      <xdr:row>24</xdr:row>
      <xdr:rowOff>0</xdr:rowOff>
    </xdr:from>
    <xdr:ext cx="19050" cy="152400"/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A7812BA4-4196-4129-A381-3BE04F89E49F}"/>
            </a:ext>
          </a:extLst>
        </xdr:cNvPr>
        <xdr:cNvSpPr txBox="1">
          <a:spLocks noChangeArrowheads="1"/>
        </xdr:cNvSpPr>
      </xdr:nvSpPr>
      <xdr:spPr bwMode="auto">
        <a:xfrm>
          <a:off x="9982200" y="10464800"/>
          <a:ext cx="190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533400</xdr:colOff>
      <xdr:row>25</xdr:row>
      <xdr:rowOff>6350</xdr:rowOff>
    </xdr:from>
    <xdr:ext cx="19050" cy="158750"/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84BFB143-1685-4914-87D2-F5A00BD82AA4}"/>
            </a:ext>
          </a:extLst>
        </xdr:cNvPr>
        <xdr:cNvSpPr txBox="1">
          <a:spLocks noChangeArrowheads="1"/>
        </xdr:cNvSpPr>
      </xdr:nvSpPr>
      <xdr:spPr bwMode="auto">
        <a:xfrm>
          <a:off x="9982200" y="10655300"/>
          <a:ext cx="1905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421480</xdr:colOff>
      <xdr:row>25</xdr:row>
      <xdr:rowOff>1</xdr:rowOff>
    </xdr:from>
    <xdr:to>
      <xdr:col>12</xdr:col>
      <xdr:colOff>602455</xdr:colOff>
      <xdr:row>25</xdr:row>
      <xdr:rowOff>146051</xdr:rowOff>
    </xdr:to>
    <xdr:sp macro="" textlink="">
      <xdr:nvSpPr>
        <xdr:cNvPr id="14" name="Flowchart: Connector 8">
          <a:extLst>
            <a:ext uri="{FF2B5EF4-FFF2-40B4-BE49-F238E27FC236}">
              <a16:creationId xmlns:a16="http://schemas.microsoft.com/office/drawing/2014/main" id="{ED716A6A-24FD-4E17-8B44-0ECA52AE8706}"/>
            </a:ext>
          </a:extLst>
        </xdr:cNvPr>
        <xdr:cNvSpPr>
          <a:spLocks noChangeArrowheads="1"/>
        </xdr:cNvSpPr>
      </xdr:nvSpPr>
      <xdr:spPr bwMode="auto">
        <a:xfrm>
          <a:off x="9451180" y="5226051"/>
          <a:ext cx="180975" cy="146050"/>
        </a:xfrm>
        <a:prstGeom prst="flowChartConnector">
          <a:avLst/>
        </a:prstGeom>
        <a:noFill/>
        <a:ln w="25400" algn="ctr">
          <a:solidFill>
            <a:srgbClr val="4F81BD"/>
          </a:solidFill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B</a:t>
          </a:r>
        </a:p>
      </xdr:txBody>
    </xdr:sp>
    <xdr:clientData/>
  </xdr:twoCellAnchor>
  <xdr:twoCellAnchor>
    <xdr:from>
      <xdr:col>12</xdr:col>
      <xdr:colOff>421481</xdr:colOff>
      <xdr:row>29</xdr:row>
      <xdr:rowOff>31750</xdr:rowOff>
    </xdr:from>
    <xdr:to>
      <xdr:col>12</xdr:col>
      <xdr:colOff>602456</xdr:colOff>
      <xdr:row>29</xdr:row>
      <xdr:rowOff>181219</xdr:rowOff>
    </xdr:to>
    <xdr:sp macro="" textlink="">
      <xdr:nvSpPr>
        <xdr:cNvPr id="15" name="Flowchart: Connector 11">
          <a:extLst>
            <a:ext uri="{FF2B5EF4-FFF2-40B4-BE49-F238E27FC236}">
              <a16:creationId xmlns:a16="http://schemas.microsoft.com/office/drawing/2014/main" id="{219CE65F-8DDE-4AE4-A647-873F2D343FA3}"/>
            </a:ext>
          </a:extLst>
        </xdr:cNvPr>
        <xdr:cNvSpPr>
          <a:spLocks noChangeArrowheads="1"/>
        </xdr:cNvSpPr>
      </xdr:nvSpPr>
      <xdr:spPr bwMode="auto">
        <a:xfrm>
          <a:off x="8378031" y="5810250"/>
          <a:ext cx="180975" cy="149469"/>
        </a:xfrm>
        <a:prstGeom prst="flowChartConnector">
          <a:avLst/>
        </a:prstGeom>
        <a:solidFill>
          <a:srgbClr val="FFFFFF"/>
        </a:solidFill>
        <a:ln w="25400" algn="ctr">
          <a:solidFill>
            <a:srgbClr val="4F81BD"/>
          </a:solidFill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F</a:t>
          </a:r>
        </a:p>
      </xdr:txBody>
    </xdr:sp>
    <xdr:clientData/>
  </xdr:twoCellAnchor>
  <xdr:twoCellAnchor>
    <xdr:from>
      <xdr:col>12</xdr:col>
      <xdr:colOff>431800</xdr:colOff>
      <xdr:row>30</xdr:row>
      <xdr:rowOff>44450</xdr:rowOff>
    </xdr:from>
    <xdr:to>
      <xdr:col>13</xdr:col>
      <xdr:colOff>3175</xdr:colOff>
      <xdr:row>30</xdr:row>
      <xdr:rowOff>193919</xdr:rowOff>
    </xdr:to>
    <xdr:sp macro="" textlink="">
      <xdr:nvSpPr>
        <xdr:cNvPr id="17" name="Flowchart: Connector 11">
          <a:extLst>
            <a:ext uri="{FF2B5EF4-FFF2-40B4-BE49-F238E27FC236}">
              <a16:creationId xmlns:a16="http://schemas.microsoft.com/office/drawing/2014/main" id="{EDF5FFF7-FD29-4BBA-A663-FA0E9A15A15D}"/>
            </a:ext>
          </a:extLst>
        </xdr:cNvPr>
        <xdr:cNvSpPr>
          <a:spLocks noChangeArrowheads="1"/>
        </xdr:cNvSpPr>
      </xdr:nvSpPr>
      <xdr:spPr bwMode="auto">
        <a:xfrm>
          <a:off x="8388350" y="6007100"/>
          <a:ext cx="180975" cy="149469"/>
        </a:xfrm>
        <a:prstGeom prst="flowChartConnector">
          <a:avLst/>
        </a:prstGeom>
        <a:solidFill>
          <a:srgbClr val="FFFFFF"/>
        </a:solidFill>
        <a:ln w="25400" algn="ctr">
          <a:solidFill>
            <a:srgbClr val="4F81BD"/>
          </a:solidFill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</a:rPr>
            <a:t>G</a:t>
          </a:r>
        </a:p>
      </xdr:txBody>
    </xdr:sp>
    <xdr:clientData/>
  </xdr:twoCellAnchor>
  <xdr:twoCellAnchor>
    <xdr:from>
      <xdr:col>15</xdr:col>
      <xdr:colOff>44450</xdr:colOff>
      <xdr:row>22</xdr:row>
      <xdr:rowOff>0</xdr:rowOff>
    </xdr:from>
    <xdr:to>
      <xdr:col>15</xdr:col>
      <xdr:colOff>225543</xdr:colOff>
      <xdr:row>22</xdr:row>
      <xdr:rowOff>187325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D970F44D-95CF-473E-9847-633C651A61F1}"/>
            </a:ext>
          </a:extLst>
        </xdr:cNvPr>
        <xdr:cNvSpPr/>
      </xdr:nvSpPr>
      <xdr:spPr>
        <a:xfrm>
          <a:off x="9829800" y="4470400"/>
          <a:ext cx="181093" cy="187325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G</a:t>
          </a:r>
        </a:p>
      </xdr:txBody>
    </xdr:sp>
    <xdr:clientData/>
  </xdr:twoCellAnchor>
  <xdr:twoCellAnchor editAs="oneCell">
    <xdr:from>
      <xdr:col>0</xdr:col>
      <xdr:colOff>28576</xdr:colOff>
      <xdr:row>0</xdr:row>
      <xdr:rowOff>123825</xdr:rowOff>
    </xdr:from>
    <xdr:to>
      <xdr:col>3</xdr:col>
      <xdr:colOff>85726</xdr:colOff>
      <xdr:row>0</xdr:row>
      <xdr:rowOff>438559</xdr:rowOff>
    </xdr:to>
    <xdr:pic>
      <xdr:nvPicPr>
        <xdr:cNvPr id="21" name="Picture 20" descr="A red letter on a white background&#10;&#10;AI-generated content may be incorrect.">
          <a:extLst>
            <a:ext uri="{FF2B5EF4-FFF2-40B4-BE49-F238E27FC236}">
              <a16:creationId xmlns:a16="http://schemas.microsoft.com/office/drawing/2014/main" id="{16CA045D-EA67-4398-B7C3-84B1C7690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23825"/>
          <a:ext cx="1943100" cy="314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D991-AE03-412B-97F9-AABC0BDC9745}">
  <sheetPr>
    <pageSetUpPr fitToPage="1"/>
  </sheetPr>
  <dimension ref="A1:Q41"/>
  <sheetViews>
    <sheetView tabSelected="1" workbookViewId="0">
      <selection activeCell="R21" sqref="R21"/>
    </sheetView>
  </sheetViews>
  <sheetFormatPr defaultRowHeight="15" x14ac:dyDescent="0.25"/>
  <cols>
    <col min="1" max="1" width="8.7109375" customWidth="1"/>
    <col min="2" max="2" width="10.42578125" customWidth="1"/>
    <col min="8" max="8" width="9.140625" customWidth="1"/>
    <col min="11" max="11" width="10.7109375" customWidth="1"/>
    <col min="12" max="12" width="12.28515625" customWidth="1"/>
    <col min="13" max="13" width="11" customWidth="1"/>
    <col min="14" max="14" width="10.28515625" customWidth="1"/>
    <col min="16" max="16" width="14" customWidth="1"/>
  </cols>
  <sheetData>
    <row r="1" spans="1:16" s="1" customFormat="1" ht="37.5" customHeight="1" thickBo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1" customFormat="1" ht="18" customHeight="1" thickBot="1" x14ac:dyDescent="0.45">
      <c r="A2" s="16" t="s">
        <v>44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2"/>
      <c r="M2" s="13"/>
      <c r="N2" s="13"/>
      <c r="O2" s="13"/>
      <c r="P2" s="14"/>
    </row>
    <row r="3" spans="1:16" s="34" customFormat="1" x14ac:dyDescent="0.25">
      <c r="A3" s="76" t="s">
        <v>34</v>
      </c>
      <c r="B3" s="77"/>
      <c r="C3" s="78"/>
      <c r="D3" s="79"/>
      <c r="E3" s="79"/>
      <c r="F3" s="79"/>
      <c r="G3" s="79"/>
      <c r="H3" s="80"/>
      <c r="I3" s="81" t="s">
        <v>37</v>
      </c>
      <c r="J3" s="81"/>
      <c r="K3" s="82"/>
      <c r="L3" s="82"/>
      <c r="M3" s="82"/>
      <c r="N3" s="82"/>
      <c r="O3" s="82"/>
      <c r="P3" s="83"/>
    </row>
    <row r="4" spans="1:16" s="34" customFormat="1" x14ac:dyDescent="0.25">
      <c r="A4" s="84" t="s">
        <v>35</v>
      </c>
      <c r="B4" s="85"/>
      <c r="C4" s="86"/>
      <c r="D4" s="87"/>
      <c r="E4" s="87"/>
      <c r="F4" s="87"/>
      <c r="G4" s="87"/>
      <c r="H4" s="88"/>
      <c r="I4" s="89" t="s">
        <v>38</v>
      </c>
      <c r="J4" s="89"/>
      <c r="K4" s="90"/>
      <c r="L4" s="90"/>
      <c r="M4" s="90"/>
      <c r="N4" s="90"/>
      <c r="O4" s="90"/>
      <c r="P4" s="91"/>
    </row>
    <row r="5" spans="1:16" s="34" customFormat="1" x14ac:dyDescent="0.25">
      <c r="A5" s="84" t="s">
        <v>43</v>
      </c>
      <c r="B5" s="85"/>
      <c r="C5" s="86"/>
      <c r="D5" s="87"/>
      <c r="E5" s="87"/>
      <c r="F5" s="87"/>
      <c r="G5" s="87"/>
      <c r="H5" s="88"/>
      <c r="I5" s="92" t="s">
        <v>39</v>
      </c>
      <c r="J5" s="92"/>
      <c r="K5" s="90"/>
      <c r="L5" s="90"/>
      <c r="M5" s="90"/>
      <c r="N5" s="90"/>
      <c r="O5" s="90"/>
      <c r="P5" s="91"/>
    </row>
    <row r="6" spans="1:16" s="34" customFormat="1" x14ac:dyDescent="0.25">
      <c r="A6" s="84" t="s">
        <v>36</v>
      </c>
      <c r="B6" s="85"/>
      <c r="C6" s="86"/>
      <c r="D6" s="87"/>
      <c r="E6" s="87"/>
      <c r="F6" s="87"/>
      <c r="G6" s="87"/>
      <c r="H6" s="88"/>
      <c r="I6" s="90"/>
      <c r="J6" s="90"/>
      <c r="K6" s="90"/>
      <c r="L6" s="90"/>
      <c r="M6" s="90"/>
      <c r="N6" s="90"/>
      <c r="O6" s="90"/>
      <c r="P6" s="91"/>
    </row>
    <row r="7" spans="1:16" s="34" customFormat="1" ht="15.75" thickBot="1" x14ac:dyDescent="0.3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1:16" s="34" customFormat="1" ht="15" customHeight="1" thickBot="1" x14ac:dyDescent="0.3">
      <c r="A8" s="8" t="s">
        <v>45</v>
      </c>
      <c r="B8" s="96" t="s">
        <v>3</v>
      </c>
      <c r="C8" s="97"/>
      <c r="D8" s="97"/>
      <c r="E8" s="97"/>
      <c r="F8" s="97"/>
      <c r="G8" s="97"/>
      <c r="H8" s="97"/>
      <c r="I8" s="97"/>
      <c r="J8" s="97"/>
      <c r="K8" s="98"/>
      <c r="L8" s="99" t="s">
        <v>4</v>
      </c>
      <c r="M8" s="100"/>
      <c r="N8" s="100"/>
      <c r="O8" s="100"/>
      <c r="P8" s="101"/>
    </row>
    <row r="9" spans="1:16" s="34" customFormat="1" x14ac:dyDescent="0.25">
      <c r="A9" s="9"/>
      <c r="B9" s="102" t="s">
        <v>5</v>
      </c>
      <c r="C9" s="103"/>
      <c r="D9" s="103"/>
      <c r="E9" s="103" t="s">
        <v>6</v>
      </c>
      <c r="F9" s="103"/>
      <c r="G9" s="103"/>
      <c r="H9" s="104" t="s">
        <v>0</v>
      </c>
      <c r="I9" s="103" t="s">
        <v>7</v>
      </c>
      <c r="J9" s="103"/>
      <c r="K9" s="105" t="s">
        <v>8</v>
      </c>
      <c r="L9" s="106" t="s">
        <v>9</v>
      </c>
      <c r="M9" s="107" t="s">
        <v>2</v>
      </c>
      <c r="N9" s="107" t="s">
        <v>27</v>
      </c>
      <c r="O9" s="3" t="s">
        <v>40</v>
      </c>
      <c r="P9" s="15"/>
    </row>
    <row r="10" spans="1:16" s="34" customFormat="1" ht="15.75" thickBot="1" x14ac:dyDescent="0.3">
      <c r="A10" s="10"/>
      <c r="B10" s="108" t="s">
        <v>10</v>
      </c>
      <c r="C10" s="109" t="s">
        <v>11</v>
      </c>
      <c r="D10" s="109" t="s">
        <v>12</v>
      </c>
      <c r="E10" s="109" t="s">
        <v>10</v>
      </c>
      <c r="F10" s="109" t="s">
        <v>11</v>
      </c>
      <c r="G10" s="109" t="s">
        <v>12</v>
      </c>
      <c r="H10" s="110"/>
      <c r="I10" s="109" t="s">
        <v>13</v>
      </c>
      <c r="J10" s="111" t="s">
        <v>14</v>
      </c>
      <c r="K10" s="112"/>
      <c r="L10" s="113"/>
      <c r="M10" s="114"/>
      <c r="N10" s="114"/>
      <c r="O10" s="4" t="s">
        <v>41</v>
      </c>
      <c r="P10" s="5">
        <v>0.5</v>
      </c>
    </row>
    <row r="11" spans="1:16" s="34" customFormat="1" x14ac:dyDescent="0.25">
      <c r="A11" s="20"/>
      <c r="B11" s="21"/>
      <c r="C11" s="22"/>
      <c r="D11" s="23"/>
      <c r="E11" s="24"/>
      <c r="F11" s="25"/>
      <c r="G11" s="23"/>
      <c r="H11" s="26"/>
      <c r="I11" s="27"/>
      <c r="J11" s="28"/>
      <c r="K11" s="29">
        <f t="shared" ref="K11:K22" si="0">J11*I11</f>
        <v>0</v>
      </c>
      <c r="L11" s="30"/>
      <c r="M11" s="31"/>
      <c r="N11" s="31"/>
      <c r="O11" s="32"/>
      <c r="P11" s="33">
        <f>ROUND(O11*P10,0)</f>
        <v>0</v>
      </c>
    </row>
    <row r="12" spans="1:16" s="34" customFormat="1" x14ac:dyDescent="0.25">
      <c r="A12" s="35"/>
      <c r="B12" s="36"/>
      <c r="C12" s="37"/>
      <c r="D12" s="38"/>
      <c r="E12" s="39"/>
      <c r="F12" s="40"/>
      <c r="G12" s="38"/>
      <c r="H12" s="26"/>
      <c r="I12" s="41"/>
      <c r="J12" s="26"/>
      <c r="K12" s="42">
        <f t="shared" si="0"/>
        <v>0</v>
      </c>
      <c r="L12" s="43"/>
      <c r="M12" s="44"/>
      <c r="N12" s="44"/>
      <c r="O12" s="45"/>
      <c r="P12" s="33">
        <f t="shared" ref="P12:P22" si="1">ROUND(O12*P11,0)</f>
        <v>0</v>
      </c>
    </row>
    <row r="13" spans="1:16" s="34" customFormat="1" x14ac:dyDescent="0.25">
      <c r="A13" s="35"/>
      <c r="B13" s="46"/>
      <c r="C13" s="41"/>
      <c r="D13" s="41"/>
      <c r="E13" s="41"/>
      <c r="F13" s="41"/>
      <c r="G13" s="41"/>
      <c r="H13" s="26"/>
      <c r="I13" s="41"/>
      <c r="J13" s="26"/>
      <c r="K13" s="42">
        <f t="shared" si="0"/>
        <v>0</v>
      </c>
      <c r="L13" s="43"/>
      <c r="M13" s="44"/>
      <c r="N13" s="44"/>
      <c r="O13" s="45"/>
      <c r="P13" s="33">
        <f t="shared" si="1"/>
        <v>0</v>
      </c>
    </row>
    <row r="14" spans="1:16" s="34" customFormat="1" x14ac:dyDescent="0.25">
      <c r="A14" s="35"/>
      <c r="B14" s="47"/>
      <c r="C14" s="37"/>
      <c r="D14" s="38"/>
      <c r="E14" s="39"/>
      <c r="F14" s="48"/>
      <c r="G14" s="38"/>
      <c r="H14" s="26"/>
      <c r="I14" s="41"/>
      <c r="J14" s="26"/>
      <c r="K14" s="42">
        <f t="shared" si="0"/>
        <v>0</v>
      </c>
      <c r="L14" s="43"/>
      <c r="M14" s="44"/>
      <c r="N14" s="44"/>
      <c r="O14" s="45"/>
      <c r="P14" s="33">
        <f t="shared" si="1"/>
        <v>0</v>
      </c>
    </row>
    <row r="15" spans="1:16" s="34" customFormat="1" x14ac:dyDescent="0.25">
      <c r="A15" s="35"/>
      <c r="B15" s="46"/>
      <c r="C15" s="49"/>
      <c r="D15" s="50"/>
      <c r="E15" s="51"/>
      <c r="F15" s="40"/>
      <c r="G15" s="52"/>
      <c r="H15" s="26"/>
      <c r="I15" s="41"/>
      <c r="J15" s="26"/>
      <c r="K15" s="42">
        <f t="shared" si="0"/>
        <v>0</v>
      </c>
      <c r="L15" s="43"/>
      <c r="M15" s="44"/>
      <c r="N15" s="44"/>
      <c r="O15" s="45"/>
      <c r="P15" s="33">
        <f t="shared" si="1"/>
        <v>0</v>
      </c>
    </row>
    <row r="16" spans="1:16" s="34" customFormat="1" x14ac:dyDescent="0.25">
      <c r="A16" s="35"/>
      <c r="B16" s="53"/>
      <c r="C16" s="49"/>
      <c r="D16" s="50"/>
      <c r="E16" s="51"/>
      <c r="F16" s="40"/>
      <c r="G16" s="52"/>
      <c r="H16" s="45"/>
      <c r="I16" s="41"/>
      <c r="J16" s="26"/>
      <c r="K16" s="42">
        <f t="shared" si="0"/>
        <v>0</v>
      </c>
      <c r="L16" s="43"/>
      <c r="M16" s="44"/>
      <c r="N16" s="44"/>
      <c r="O16" s="45"/>
      <c r="P16" s="33">
        <f t="shared" si="1"/>
        <v>0</v>
      </c>
    </row>
    <row r="17" spans="1:17" s="34" customFormat="1" x14ac:dyDescent="0.25">
      <c r="A17" s="35"/>
      <c r="B17" s="53"/>
      <c r="C17" s="49"/>
      <c r="D17" s="38"/>
      <c r="E17" s="39"/>
      <c r="F17" s="40"/>
      <c r="G17" s="38"/>
      <c r="H17" s="26"/>
      <c r="I17" s="41"/>
      <c r="J17" s="50"/>
      <c r="K17" s="42">
        <f t="shared" si="0"/>
        <v>0</v>
      </c>
      <c r="L17" s="43"/>
      <c r="M17" s="44"/>
      <c r="N17" s="44"/>
      <c r="O17" s="45"/>
      <c r="P17" s="33">
        <f t="shared" si="1"/>
        <v>0</v>
      </c>
    </row>
    <row r="18" spans="1:17" s="34" customFormat="1" x14ac:dyDescent="0.25">
      <c r="A18" s="35"/>
      <c r="B18" s="53"/>
      <c r="C18" s="49"/>
      <c r="D18" s="38"/>
      <c r="E18" s="39"/>
      <c r="F18" s="40"/>
      <c r="G18" s="38"/>
      <c r="H18" s="26"/>
      <c r="I18" s="41"/>
      <c r="J18" s="50"/>
      <c r="K18" s="42">
        <f t="shared" si="0"/>
        <v>0</v>
      </c>
      <c r="L18" s="43"/>
      <c r="M18" s="44"/>
      <c r="N18" s="44"/>
      <c r="O18" s="45"/>
      <c r="P18" s="33">
        <f t="shared" si="1"/>
        <v>0</v>
      </c>
    </row>
    <row r="19" spans="1:17" s="34" customFormat="1" x14ac:dyDescent="0.25">
      <c r="A19" s="35"/>
      <c r="B19" s="53"/>
      <c r="C19" s="49"/>
      <c r="D19" s="38"/>
      <c r="E19" s="39"/>
      <c r="F19" s="48"/>
      <c r="G19" s="38"/>
      <c r="H19" s="26"/>
      <c r="I19" s="41"/>
      <c r="J19" s="50"/>
      <c r="K19" s="42">
        <f t="shared" si="0"/>
        <v>0</v>
      </c>
      <c r="L19" s="43"/>
      <c r="M19" s="44"/>
      <c r="N19" s="44"/>
      <c r="O19" s="45"/>
      <c r="P19" s="33">
        <f t="shared" si="1"/>
        <v>0</v>
      </c>
    </row>
    <row r="20" spans="1:17" s="34" customFormat="1" x14ac:dyDescent="0.25">
      <c r="A20" s="35"/>
      <c r="B20" s="53"/>
      <c r="C20" s="49"/>
      <c r="D20" s="50"/>
      <c r="E20" s="51"/>
      <c r="F20" s="40"/>
      <c r="G20" s="52"/>
      <c r="H20" s="26"/>
      <c r="I20" s="41"/>
      <c r="J20" s="50"/>
      <c r="K20" s="42">
        <f t="shared" si="0"/>
        <v>0</v>
      </c>
      <c r="L20" s="43"/>
      <c r="M20" s="44"/>
      <c r="N20" s="44"/>
      <c r="O20" s="45"/>
      <c r="P20" s="33">
        <f t="shared" si="1"/>
        <v>0</v>
      </c>
    </row>
    <row r="21" spans="1:17" s="34" customFormat="1" x14ac:dyDescent="0.25">
      <c r="A21" s="35"/>
      <c r="B21" s="53"/>
      <c r="C21" s="49"/>
      <c r="D21" s="50"/>
      <c r="E21" s="51"/>
      <c r="F21" s="50"/>
      <c r="G21" s="50"/>
      <c r="H21" s="26"/>
      <c r="I21" s="41"/>
      <c r="J21" s="50"/>
      <c r="K21" s="42">
        <f t="shared" si="0"/>
        <v>0</v>
      </c>
      <c r="L21" s="43"/>
      <c r="M21" s="44"/>
      <c r="N21" s="44"/>
      <c r="O21" s="45"/>
      <c r="P21" s="33">
        <f t="shared" si="1"/>
        <v>0</v>
      </c>
    </row>
    <row r="22" spans="1:17" s="34" customFormat="1" ht="15.75" thickBot="1" x14ac:dyDescent="0.3">
      <c r="A22" s="35"/>
      <c r="B22" s="54"/>
      <c r="C22" s="55"/>
      <c r="D22" s="56"/>
      <c r="E22" s="57"/>
      <c r="F22" s="56"/>
      <c r="G22" s="56"/>
      <c r="H22" s="58"/>
      <c r="I22" s="59"/>
      <c r="J22" s="60"/>
      <c r="K22" s="61">
        <f t="shared" si="0"/>
        <v>0</v>
      </c>
      <c r="L22" s="62"/>
      <c r="M22" s="63"/>
      <c r="N22" s="64"/>
      <c r="O22" s="65"/>
      <c r="P22" s="33">
        <f t="shared" si="1"/>
        <v>0</v>
      </c>
    </row>
    <row r="23" spans="1:17" s="34" customFormat="1" ht="15.75" thickBot="1" x14ac:dyDescent="0.3">
      <c r="A23" s="66"/>
      <c r="B23" s="67" t="s">
        <v>28</v>
      </c>
      <c r="C23" s="67"/>
      <c r="D23" s="67"/>
      <c r="E23" s="67"/>
      <c r="F23" s="67"/>
      <c r="G23" s="68"/>
      <c r="H23" s="69" t="s">
        <v>15</v>
      </c>
      <c r="I23" s="70"/>
      <c r="J23" s="71"/>
      <c r="K23" s="72">
        <f>SUM(K11:K22)</f>
        <v>0</v>
      </c>
      <c r="L23" s="73">
        <f>SUM(L11:L22)</f>
        <v>0</v>
      </c>
      <c r="M23" s="74">
        <f>SUM(M11:M22)</f>
        <v>0</v>
      </c>
      <c r="N23" s="75">
        <f>SUM(N11:N22)</f>
        <v>0</v>
      </c>
      <c r="O23" s="32"/>
      <c r="P23" s="7">
        <f>SUM(P11:P22)</f>
        <v>0</v>
      </c>
      <c r="Q23" s="2"/>
    </row>
    <row r="24" spans="1:17" s="34" customFormat="1" ht="15.75" thickBot="1" x14ac:dyDescent="0.3">
      <c r="A24" s="8" t="s">
        <v>45</v>
      </c>
      <c r="B24" s="115" t="s">
        <v>29</v>
      </c>
      <c r="C24" s="115"/>
      <c r="D24" s="115"/>
      <c r="E24" s="115"/>
      <c r="F24" s="115"/>
      <c r="G24" s="115"/>
      <c r="H24" s="116"/>
      <c r="I24" s="117" t="s">
        <v>17</v>
      </c>
      <c r="J24" s="118"/>
      <c r="K24" s="119"/>
      <c r="L24" s="120"/>
      <c r="M24" s="121"/>
      <c r="N24" s="122"/>
      <c r="O24" s="122"/>
      <c r="P24" s="123" t="s">
        <v>19</v>
      </c>
    </row>
    <row r="25" spans="1:17" s="34" customFormat="1" ht="15.75" thickBot="1" x14ac:dyDescent="0.3">
      <c r="A25" s="11"/>
      <c r="B25" s="124" t="s">
        <v>10</v>
      </c>
      <c r="C25" s="125" t="s">
        <v>20</v>
      </c>
      <c r="D25" s="126"/>
      <c r="E25" s="127" t="s">
        <v>21</v>
      </c>
      <c r="F25" s="128"/>
      <c r="G25" s="129" t="s">
        <v>22</v>
      </c>
      <c r="H25" s="130" t="s">
        <v>8</v>
      </c>
      <c r="I25" s="131" t="s">
        <v>1</v>
      </c>
      <c r="J25" s="132"/>
      <c r="K25" s="133" t="s">
        <v>8</v>
      </c>
      <c r="L25" s="134" t="s">
        <v>23</v>
      </c>
      <c r="M25" s="135"/>
      <c r="N25" s="136"/>
      <c r="O25" s="45"/>
      <c r="P25" s="137">
        <f>K23</f>
        <v>0</v>
      </c>
    </row>
    <row r="26" spans="1:17" s="34" customFormat="1" x14ac:dyDescent="0.25">
      <c r="A26" s="35"/>
      <c r="B26" s="36"/>
      <c r="C26" s="138"/>
      <c r="D26" s="139"/>
      <c r="E26" s="140"/>
      <c r="F26" s="141"/>
      <c r="G26" s="23"/>
      <c r="H26" s="142"/>
      <c r="I26" s="143" t="s">
        <v>42</v>
      </c>
      <c r="J26" s="144"/>
      <c r="K26" s="145"/>
      <c r="L26" s="146" t="s">
        <v>24</v>
      </c>
      <c r="M26" s="147"/>
      <c r="N26" s="148"/>
      <c r="O26" s="45"/>
      <c r="P26" s="149">
        <f>L23</f>
        <v>0</v>
      </c>
    </row>
    <row r="27" spans="1:17" s="34" customFormat="1" x14ac:dyDescent="0.25">
      <c r="A27" s="35"/>
      <c r="B27" s="36"/>
      <c r="C27" s="150"/>
      <c r="D27" s="151"/>
      <c r="E27" s="152"/>
      <c r="F27" s="153"/>
      <c r="G27" s="50"/>
      <c r="H27" s="154"/>
      <c r="I27" s="155"/>
      <c r="J27" s="156"/>
      <c r="K27" s="157"/>
      <c r="L27" s="146" t="s">
        <v>2</v>
      </c>
      <c r="M27" s="147"/>
      <c r="N27" s="148"/>
      <c r="O27" s="45"/>
      <c r="P27" s="149">
        <f>M23</f>
        <v>0</v>
      </c>
    </row>
    <row r="28" spans="1:17" s="34" customFormat="1" x14ac:dyDescent="0.25">
      <c r="A28" s="35"/>
      <c r="B28" s="36"/>
      <c r="C28" s="150"/>
      <c r="D28" s="151"/>
      <c r="E28" s="152"/>
      <c r="F28" s="153"/>
      <c r="G28" s="50"/>
      <c r="H28" s="154"/>
      <c r="I28" s="155"/>
      <c r="J28" s="156"/>
      <c r="K28" s="157"/>
      <c r="L28" s="146" t="s">
        <v>27</v>
      </c>
      <c r="M28" s="147"/>
      <c r="N28" s="148"/>
      <c r="O28" s="45"/>
      <c r="P28" s="149">
        <f>N23</f>
        <v>0</v>
      </c>
    </row>
    <row r="29" spans="1:17" s="34" customFormat="1" x14ac:dyDescent="0.25">
      <c r="A29" s="35"/>
      <c r="B29" s="36"/>
      <c r="C29" s="150"/>
      <c r="D29" s="151"/>
      <c r="E29" s="152"/>
      <c r="F29" s="153"/>
      <c r="G29" s="50"/>
      <c r="H29" s="154"/>
      <c r="I29" s="158"/>
      <c r="J29" s="151"/>
      <c r="K29" s="157"/>
      <c r="L29" s="146" t="s">
        <v>16</v>
      </c>
      <c r="M29" s="147"/>
      <c r="N29" s="148"/>
      <c r="O29" s="45"/>
      <c r="P29" s="149">
        <f>H35</f>
        <v>0</v>
      </c>
    </row>
    <row r="30" spans="1:17" s="34" customFormat="1" x14ac:dyDescent="0.25">
      <c r="A30" s="35"/>
      <c r="B30" s="36"/>
      <c r="C30" s="150"/>
      <c r="D30" s="151"/>
      <c r="E30" s="152"/>
      <c r="F30" s="153"/>
      <c r="G30" s="50"/>
      <c r="H30" s="154"/>
      <c r="I30" s="158"/>
      <c r="J30" s="151"/>
      <c r="K30" s="157"/>
      <c r="L30" s="159" t="s">
        <v>25</v>
      </c>
      <c r="M30" s="160"/>
      <c r="N30" s="161"/>
      <c r="O30" s="45"/>
      <c r="P30" s="149">
        <f>K35</f>
        <v>0</v>
      </c>
    </row>
    <row r="31" spans="1:17" s="177" customFormat="1" ht="18" customHeight="1" thickBot="1" x14ac:dyDescent="0.3">
      <c r="A31" s="162"/>
      <c r="B31" s="163"/>
      <c r="C31" s="164"/>
      <c r="D31" s="165"/>
      <c r="E31" s="166"/>
      <c r="F31" s="167"/>
      <c r="G31" s="168"/>
      <c r="H31" s="169"/>
      <c r="I31" s="170"/>
      <c r="J31" s="165"/>
      <c r="K31" s="171"/>
      <c r="L31" s="172" t="s">
        <v>47</v>
      </c>
      <c r="M31" s="173"/>
      <c r="N31" s="174"/>
      <c r="O31" s="175"/>
      <c r="P31" s="176">
        <f>P23</f>
        <v>0</v>
      </c>
    </row>
    <row r="32" spans="1:17" s="34" customFormat="1" ht="15.75" thickBot="1" x14ac:dyDescent="0.3">
      <c r="A32" s="35"/>
      <c r="B32" s="36"/>
      <c r="C32" s="150"/>
      <c r="D32" s="151"/>
      <c r="E32" s="152"/>
      <c r="F32" s="153"/>
      <c r="G32" s="50"/>
      <c r="H32" s="154"/>
      <c r="I32" s="155"/>
      <c r="J32" s="156"/>
      <c r="K32" s="157"/>
      <c r="L32" s="178" t="s">
        <v>18</v>
      </c>
      <c r="M32" s="179"/>
      <c r="N32" s="179"/>
      <c r="O32" s="180"/>
      <c r="P32" s="181">
        <f>SUM(P25:P31)</f>
        <v>0</v>
      </c>
    </row>
    <row r="33" spans="1:16" s="34" customFormat="1" x14ac:dyDescent="0.25">
      <c r="A33" s="35"/>
      <c r="B33" s="36"/>
      <c r="C33" s="150"/>
      <c r="D33" s="151"/>
      <c r="E33" s="152"/>
      <c r="F33" s="153"/>
      <c r="G33" s="50"/>
      <c r="H33" s="154"/>
      <c r="I33" s="155"/>
      <c r="J33" s="156"/>
      <c r="K33" s="157"/>
      <c r="L33" s="182" t="s">
        <v>31</v>
      </c>
      <c r="M33" s="183"/>
      <c r="N33" s="183"/>
      <c r="O33" s="184"/>
      <c r="P33" s="18"/>
    </row>
    <row r="34" spans="1:16" s="34" customFormat="1" ht="15.75" thickBot="1" x14ac:dyDescent="0.3">
      <c r="A34" s="66"/>
      <c r="B34" s="185"/>
      <c r="C34" s="186"/>
      <c r="D34" s="186"/>
      <c r="E34" s="187"/>
      <c r="F34" s="187"/>
      <c r="G34" s="56"/>
      <c r="H34" s="188"/>
      <c r="I34" s="189"/>
      <c r="J34" s="186"/>
      <c r="K34" s="190"/>
      <c r="L34" s="191" t="s">
        <v>32</v>
      </c>
      <c r="M34" s="192"/>
      <c r="N34" s="192"/>
      <c r="O34" s="193"/>
      <c r="P34" s="194">
        <f>IF(P32&gt;P33,0,(P33-P32))</f>
        <v>0</v>
      </c>
    </row>
    <row r="35" spans="1:16" s="34" customFormat="1" ht="15.75" thickBot="1" x14ac:dyDescent="0.3">
      <c r="A35" s="195"/>
      <c r="B35" s="196" t="s">
        <v>19</v>
      </c>
      <c r="C35" s="197"/>
      <c r="D35" s="197"/>
      <c r="E35" s="197"/>
      <c r="F35" s="197"/>
      <c r="G35" s="198"/>
      <c r="H35" s="199">
        <f>SUM(H26:H34)</f>
        <v>0</v>
      </c>
      <c r="I35" s="200"/>
      <c r="J35" s="201"/>
      <c r="K35" s="202">
        <f>SUM(K26:K34)</f>
        <v>0</v>
      </c>
      <c r="L35" s="203" t="s">
        <v>30</v>
      </c>
      <c r="M35" s="204"/>
      <c r="N35" s="204"/>
      <c r="O35" s="205"/>
      <c r="P35" s="19">
        <f>IF(P32&gt;P33,(P32-P33),0)</f>
        <v>0</v>
      </c>
    </row>
    <row r="36" spans="1:16" s="34" customFormat="1" x14ac:dyDescent="0.25">
      <c r="A36" s="206"/>
      <c r="B36" s="207" t="s">
        <v>26</v>
      </c>
      <c r="C36" s="208"/>
      <c r="D36" s="208"/>
      <c r="E36" s="208"/>
      <c r="F36" s="208"/>
      <c r="G36" s="209" t="s">
        <v>33</v>
      </c>
      <c r="H36" s="210"/>
      <c r="I36" s="210"/>
      <c r="J36" s="210"/>
      <c r="K36" s="210"/>
      <c r="L36" s="211"/>
      <c r="M36" s="211"/>
      <c r="N36" s="211"/>
      <c r="O36" s="211"/>
      <c r="P36" s="212"/>
    </row>
    <row r="37" spans="1:16" s="34" customFormat="1" x14ac:dyDescent="0.25">
      <c r="A37" s="206"/>
      <c r="B37" s="213"/>
      <c r="C37" s="214"/>
      <c r="D37" s="214"/>
      <c r="E37" s="214"/>
      <c r="F37" s="214"/>
      <c r="G37" s="215"/>
      <c r="H37" s="216"/>
      <c r="I37" s="216"/>
      <c r="J37" s="216"/>
      <c r="K37" s="216"/>
      <c r="L37" s="216"/>
      <c r="M37" s="216"/>
      <c r="N37" s="216"/>
      <c r="O37" s="216"/>
      <c r="P37" s="217"/>
    </row>
    <row r="38" spans="1:16" s="34" customFormat="1" x14ac:dyDescent="0.25">
      <c r="A38" s="206"/>
      <c r="B38" s="218"/>
      <c r="C38" s="218"/>
      <c r="D38" s="218"/>
      <c r="E38" s="218"/>
      <c r="F38" s="218"/>
      <c r="G38" s="218"/>
      <c r="H38" s="219"/>
      <c r="I38" s="219"/>
      <c r="J38" s="219"/>
      <c r="K38" s="219"/>
      <c r="L38" s="219"/>
      <c r="M38" s="219"/>
      <c r="N38" s="219"/>
      <c r="O38" s="220"/>
      <c r="P38" s="221"/>
    </row>
    <row r="39" spans="1:16" s="34" customFormat="1" x14ac:dyDescent="0.25">
      <c r="A39" s="206"/>
      <c r="B39" s="218"/>
      <c r="C39" s="218"/>
      <c r="D39" s="218"/>
      <c r="E39" s="218"/>
      <c r="F39" s="218"/>
      <c r="G39" s="218"/>
      <c r="H39" s="219"/>
      <c r="I39" s="219"/>
      <c r="J39" s="219"/>
      <c r="K39" s="219"/>
      <c r="L39" s="219"/>
      <c r="M39" s="219"/>
      <c r="N39" s="219"/>
      <c r="O39" s="220"/>
      <c r="P39" s="221"/>
    </row>
    <row r="40" spans="1:16" s="34" customFormat="1" x14ac:dyDescent="0.25">
      <c r="A40" s="206"/>
      <c r="B40" s="218"/>
      <c r="C40" s="218"/>
      <c r="D40" s="218"/>
      <c r="E40" s="218"/>
      <c r="F40" s="218"/>
      <c r="G40" s="218"/>
      <c r="H40" s="219"/>
      <c r="I40" s="219"/>
      <c r="J40" s="219"/>
      <c r="K40" s="219"/>
      <c r="L40" s="219"/>
      <c r="M40" s="219"/>
      <c r="N40" s="219"/>
      <c r="O40" s="220"/>
      <c r="P40" s="221"/>
    </row>
    <row r="41" spans="1:16" s="34" customFormat="1" ht="15.75" thickBot="1" x14ac:dyDescent="0.3">
      <c r="A41" s="222"/>
      <c r="B41" s="224" t="s">
        <v>46</v>
      </c>
      <c r="C41" s="224"/>
      <c r="D41" s="224"/>
      <c r="E41" s="225"/>
      <c r="F41" s="224" t="s">
        <v>48</v>
      </c>
      <c r="G41" s="224"/>
      <c r="H41" s="224"/>
      <c r="I41" s="225"/>
      <c r="J41" s="224" t="s">
        <v>49</v>
      </c>
      <c r="K41" s="224"/>
      <c r="L41" s="224"/>
      <c r="M41" s="224" t="s">
        <v>50</v>
      </c>
      <c r="N41" s="224"/>
      <c r="O41" s="224"/>
      <c r="P41" s="223"/>
    </row>
  </sheetData>
  <mergeCells count="88">
    <mergeCell ref="M41:O41"/>
    <mergeCell ref="G36:P37"/>
    <mergeCell ref="L32:O32"/>
    <mergeCell ref="L33:O33"/>
    <mergeCell ref="L34:O34"/>
    <mergeCell ref="L35:O35"/>
    <mergeCell ref="A8:A10"/>
    <mergeCell ref="A24:A25"/>
    <mergeCell ref="B41:D41"/>
    <mergeCell ref="F41:H41"/>
    <mergeCell ref="J41:L41"/>
    <mergeCell ref="A1:P1"/>
    <mergeCell ref="A2:K2"/>
    <mergeCell ref="L2:P2"/>
    <mergeCell ref="A3:B3"/>
    <mergeCell ref="A4:B4"/>
    <mergeCell ref="A5:B5"/>
    <mergeCell ref="A6:B6"/>
    <mergeCell ref="C3:H3"/>
    <mergeCell ref="C4:H4"/>
    <mergeCell ref="C5:H5"/>
    <mergeCell ref="C6:H6"/>
    <mergeCell ref="B38:D40"/>
    <mergeCell ref="E38:G40"/>
    <mergeCell ref="H38:K40"/>
    <mergeCell ref="L38:N40"/>
    <mergeCell ref="L9:L10"/>
    <mergeCell ref="B35:G35"/>
    <mergeCell ref="I35:J35"/>
    <mergeCell ref="B36:F37"/>
    <mergeCell ref="C34:D34"/>
    <mergeCell ref="E34:F34"/>
    <mergeCell ref="I34:J34"/>
    <mergeCell ref="C32:D32"/>
    <mergeCell ref="E32:F32"/>
    <mergeCell ref="I32:J32"/>
    <mergeCell ref="C33:D33"/>
    <mergeCell ref="E33:F33"/>
    <mergeCell ref="I33:J33"/>
    <mergeCell ref="C29:D29"/>
    <mergeCell ref="E29:F29"/>
    <mergeCell ref="L29:M29"/>
    <mergeCell ref="C30:D30"/>
    <mergeCell ref="E30:F30"/>
    <mergeCell ref="L30:M30"/>
    <mergeCell ref="I29:J29"/>
    <mergeCell ref="I30:J30"/>
    <mergeCell ref="C27:D27"/>
    <mergeCell ref="E27:F27"/>
    <mergeCell ref="I27:J27"/>
    <mergeCell ref="L27:M27"/>
    <mergeCell ref="C28:D28"/>
    <mergeCell ref="E28:F28"/>
    <mergeCell ref="I28:J28"/>
    <mergeCell ref="L28:M28"/>
    <mergeCell ref="N9:N10"/>
    <mergeCell ref="B23:G23"/>
    <mergeCell ref="H23:J23"/>
    <mergeCell ref="B24:H24"/>
    <mergeCell ref="I24:K24"/>
    <mergeCell ref="M9:M10"/>
    <mergeCell ref="C26:D26"/>
    <mergeCell ref="E26:F26"/>
    <mergeCell ref="I26:J26"/>
    <mergeCell ref="L26:M26"/>
    <mergeCell ref="C25:D25"/>
    <mergeCell ref="E25:F25"/>
    <mergeCell ref="I25:J25"/>
    <mergeCell ref="L25:M25"/>
    <mergeCell ref="B8:K8"/>
    <mergeCell ref="B9:D9"/>
    <mergeCell ref="E9:G9"/>
    <mergeCell ref="H9:H10"/>
    <mergeCell ref="I9:J9"/>
    <mergeCell ref="K9:K10"/>
    <mergeCell ref="L31:M31"/>
    <mergeCell ref="O38:P40"/>
    <mergeCell ref="K3:P3"/>
    <mergeCell ref="K4:P4"/>
    <mergeCell ref="K5:P5"/>
    <mergeCell ref="K6:P6"/>
    <mergeCell ref="A7:P7"/>
    <mergeCell ref="L8:P8"/>
    <mergeCell ref="O9:P9"/>
    <mergeCell ref="I6:J6"/>
    <mergeCell ref="I3:J3"/>
    <mergeCell ref="I4:J4"/>
    <mergeCell ref="I5:J5"/>
  </mergeCells>
  <printOptions horizontalCentered="1"/>
  <pageMargins left="0.19685039370078741" right="0.19685039370078741" top="0.39370078740157483" bottom="0.19685039370078741" header="0.31496062992125984" footer="0.31496062992125984"/>
  <pageSetup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Expense Statement</vt:lpstr>
      <vt:lpstr>'Travel Expense Statement'!Print_Area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Susheela Pisapati</dc:creator>
  <cp:lastModifiedBy>SRI RAM</cp:lastModifiedBy>
  <cp:lastPrinted>2026-02-27T10:18:15Z</cp:lastPrinted>
  <dcterms:created xsi:type="dcterms:W3CDTF">2026-02-24T04:05:38Z</dcterms:created>
  <dcterms:modified xsi:type="dcterms:W3CDTF">2026-02-27T10:26:01Z</dcterms:modified>
</cp:coreProperties>
</file>